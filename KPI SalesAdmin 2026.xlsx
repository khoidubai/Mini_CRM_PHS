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itran.PHS\Downloads\"/>
    </mc:Choice>
  </mc:AlternateContent>
  <bookViews>
    <workbookView xWindow="0" yWindow="0" windowWidth="28800" windowHeight="12312" tabRatio="500"/>
  </bookViews>
  <sheets>
    <sheet name="KPI Sales Admin" sheetId="1" r:id="rId1"/>
    <sheet name="KPI Sup trở lên" sheetId="2" r:id="rId2"/>
  </sheet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C35" i="2" l="1"/>
  <c r="C37" i="1"/>
</calcChain>
</file>

<file path=xl/sharedStrings.xml><?xml version="1.0" encoding="utf-8"?>
<sst xmlns="http://schemas.openxmlformats.org/spreadsheetml/2006/main" count="342" uniqueCount="213">
  <si>
    <t>KHUNG KPI SALES ADMIN</t>
  </si>
  <si>
    <t>STT</t>
  </si>
  <si>
    <t>CHỈ TIÊU</t>
  </si>
  <si>
    <t>TỶ TRỌNG</t>
  </si>
  <si>
    <t>MÔ TẢ CÔNG VIỆC</t>
  </si>
  <si>
    <t>ĐO LƯỜNG (CRM)</t>
  </si>
  <si>
    <t>MỤC TIÊU</t>
  </si>
  <si>
    <t>TẦN SUẤT</t>
  </si>
  <si>
    <t>PHẦN A: NGHIỆP VỤ ADMIN — 60%</t>
  </si>
  <si>
    <t>A1. VẬN HÀNH HÀNG NGÀY — 36%</t>
  </si>
  <si>
    <t>1</t>
  </si>
  <si>
    <t>Mở Tài Khoản</t>
  </si>
  <si>
    <t>Mở TK cơ sở &amp; phái sinh: EKYC, form HĐ đúng đầy đủ, kiểm tra CCCD/passport/chữ ký, ghi âm xác nhận, gắn AF/ID, nhập Flex, hướng dẫn KH đăng nhập, lưu trữ HĐ đúng quy trình.</t>
  </si>
  <si>
    <t>(Số HĐ lỗi / Tổng HĐ) × 100%
KSNB hàng tháng. Log Flex
Ghi âm xác nhận</t>
  </si>
  <si>
    <t>0 lỗi HĐ
0 TK trễ duyệt
100% lưu trữ đúng</t>
  </si>
  <si>
    <t>Tháng</t>
  </si>
  <si>
    <t>2</t>
  </si>
  <si>
    <t>Lệnh Giao Dịch</t>
  </si>
  <si>
    <t>Nhận phiếu lệnh từ KH tại CN/PGD: kiểm tra CCCD, số TK, CK, tiền, chữ ký → nhập lệnh Flex. Lệnh thỏa thuận, duyệt &amp; in phiếu, đối chiếu file tổng, lưu trữ.</t>
  </si>
  <si>
    <t>(Số phiếu lỗi / Tổng phiếu) × 100%
Log Flex. 
KSNB spot check
File phiếu lệnh hàng ngày</t>
  </si>
  <si>
    <t>0 lỗi nhập lệnh
100% kịp thời</t>
  </si>
  <si>
    <t>Ngày</t>
  </si>
  <si>
    <t>3</t>
  </si>
  <si>
    <t>Lưu Ký Chứng Khoán</t>
  </si>
  <si>
    <t>Quyền mua &amp; chuyển nhượng QM, thay đổi thông tin nội bộ &amp; VSDC (email, SĐT, chữ ký, CCCD), chuyển quyền sở hữu, phong tỏa/thừa kế, lưu ký/rút CK, đóng/chuyển TK.</t>
  </si>
  <si>
    <t>(Số HS đúng SLA / Tổng HS) × 100%
Base Workflow timestamp
VSDC confirmation. 
KSNB</t>
  </si>
  <si>
    <t>100% đúng SLA
0 HS trả lại</t>
  </si>
  <si>
    <t>4</t>
  </si>
  <si>
    <t>GD Đăng ký, nộp, chuyển, ứng tiền</t>
  </si>
  <si>
    <t>Kiểm nộp tiền, chuyển khoản nội/ngoại (FII), ĐKCT/thay đổi ĐKCT, ứng tiền &amp; ứng cổ tức. Kiểm tra CCCD, chữ ký, ghi âm, trình LM duyệt, lưu trữ.</t>
  </si>
  <si>
    <t>(Số GD lỗi / Tổng GD) × 100%
Chứng từ + ghi âm xác nhận
Log Flex/Portal
KSNB</t>
  </si>
  <si>
    <t>100% không lỗi</t>
  </si>
  <si>
    <t>5</t>
  </si>
  <si>
    <t>Giao dịch Ký Quỹ</t>
  </si>
  <si>
    <t>Mở TKKQ, cấp hạn mức Flex, quản lý/thống kê TKKQ, trả nợ MR&amp;DP, gia hạn, check room, thông báo nợ hàng ngày cho NVQLTK, hỗ trợ tính ký quỹ KH VIP.</t>
  </si>
  <si>
    <t>(Số sai sót / Tổng NV KQ) × 100%
Báo cáo nợ hàng ngày
Thống kê TKKQ tháng 
KSNB</t>
  </si>
  <si>
    <t>0 sai sót số liệu
Đúng quy định
Kịp thời</t>
  </si>
  <si>
    <t>6</t>
  </si>
  <si>
    <t>Các công việc khác</t>
  </si>
  <si>
    <t>Hỗ trợ NV nghỉ phép, cung cấp thủ tục cho NVQLTK, chứng từ KSNB, liên hệ tòa nhà, VPP, báo cáo GĐCN, chuyển KH nội bộ, kiểm kê tài sản, sự kiện PHS.</t>
  </si>
  <si>
    <t>(Số việc xong / Tổng giao) × 100%
Xác nhận GĐCN
Biên bản KSNB
Base Wework/base workflow</t>
  </si>
  <si>
    <t>100% hoàn thành
Đúng thời hạn</t>
  </si>
  <si>
    <t>Khi phát sinh</t>
  </si>
  <si>
    <t>A2. THAM GIA DỰ ÁN — 10%</t>
  </si>
  <si>
    <t>10</t>
  </si>
  <si>
    <t>Phối hợp dự án &amp; đề xuất cải tiến</t>
  </si>
  <si>
    <t>Phối hợp dự án nâng cao chất lượng DV. Đề xuất cải tiến quy trình.</t>
  </si>
  <si>
    <t>(Task đúng hạn / Tổng task) × 100%
Base Wework 
BOM approval</t>
  </si>
  <si>
    <t>100% đúng hạn
≥1 đề xuất/năm</t>
  </si>
  <si>
    <t>Quý</t>
  </si>
  <si>
    <t>11</t>
  </si>
  <si>
    <t>Test công cụ &amp; khảo sát mới</t>
  </si>
  <si>
    <t>Test link HĐ mới, công cụ mới. Hoàn thành khảo sát đúng hạn.</t>
  </si>
  <si>
    <t>(Test xong / Tổng giao) × 100%
Test reports 
Base Wework</t>
  </si>
  <si>
    <t>100% đúng hạn</t>
  </si>
  <si>
    <t>A3. TUÂN THỦ &amp; THÁI ĐỘ — 5%</t>
  </si>
  <si>
    <t>12</t>
  </si>
  <si>
    <t>Tuân thủ nội quy &amp; phối hợp team</t>
  </si>
  <si>
    <t>Chấp hành nội quy. Hỗ trợ đồng nghiệp, giải quyết xung đột.</t>
  </si>
  <si>
    <t>Số vi phạm = 0
Feedback 360° ≥ 90% tích cực
Biên bản 
HR&amp;LM review</t>
  </si>
  <si>
    <t>0 vi phạm
≥90% feedback +</t>
  </si>
  <si>
    <t>Quý / 6T</t>
  </si>
  <si>
    <t>13</t>
  </si>
  <si>
    <t>Tham gia sự kiện công ty</t>
  </si>
  <si>
    <t>Tham gia đầy đủ sự kiện nội bộ PHS.</t>
  </si>
  <si>
    <t>(Số SK tham gia / Tổng SK) × 100%
Danh sách SK 
HR&amp;LM xác nhận</t>
  </si>
  <si>
    <t>≥90% sự kiện</t>
  </si>
  <si>
    <t>6 tháng</t>
  </si>
  <si>
    <t>A4. KIẾN THỨC &amp; HỌC HỎI — 9%</t>
  </si>
  <si>
    <t>14</t>
  </si>
  <si>
    <t>Kiểm tra kiến thức (E-learning)</t>
  </si>
  <si>
    <t>Bài thi nghiệp vụ trên elearning.phs.vn.</t>
  </si>
  <si>
    <t>Điểm thi / Tổng điểm × 100%
Screenshot kết quả</t>
  </si>
  <si>
    <t>≥80% điểm thi</t>
  </si>
  <si>
    <t>15</t>
  </si>
  <si>
    <t>Chứng chỉ hành nghề &amp; đào tạo</t>
  </si>
  <si>
    <t>Hoàn thành chứng chỉ. Tham gia đào tạo HR &amp; SS.</t>
  </si>
  <si>
    <t>(Số buổi / Tổng buổi) × 100%
Chứng chỉ · Attendance list</t>
  </si>
  <si>
    <t>100% CC
≥90% đào tạo</t>
  </si>
  <si>
    <t>Năm</t>
  </si>
  <si>
    <t>16</t>
  </si>
  <si>
    <t>Cập nhật kiến thức mới &amp; chia sẻ</t>
  </si>
  <si>
    <t>Nắm quy định mới, SP mới. Chia sẻ kiến thức nội bộ.</t>
  </si>
  <si>
    <t>Điểm quiz × 100%
Số đóng góp ghi nhận
Feedback NVQLTK</t>
  </si>
  <si>
    <t>≥85% quiz
≥1 đóng góp/năm</t>
  </si>
  <si>
    <t>PHẦN B: SALE — GỌI KH TÁI KÍCH HOẠT GIAO DỊCH (40%)  ·  Áp dụng chuẩn ICP qua CRM</t>
  </si>
  <si>
    <t>17</t>
  </si>
  <si>
    <t>Số KH được gọi / tháng</t>
  </si>
  <si>
    <t>Gọi KH đã lâu không giao dịch (inactive &gt;3-6 tháng).
~5-10 KH/ngày song song xử lý nghiệp vụ admin.</t>
  </si>
  <si>
    <t>Ngày: 5-10 KH
Tuần: 25-50
Tháng: ≥100 KH</t>
  </si>
  <si>
    <t>Tuần</t>
  </si>
  <si>
    <t>18</t>
  </si>
  <si>
    <t>Tỷ lệ liên lạc được</t>
  </si>
  <si>
    <t>% KH nghe máy hoặc phản hồi khi SA gọi.
Phản ánh chất lượng data &amp; thời điểm gọi.</t>
  </si>
  <si>
    <t>≥30%</t>
  </si>
  <si>
    <t>ICP: Cập nhật phân nhóm KH sau mỗi cuộc gọi</t>
  </si>
  <si>
    <t>20</t>
  </si>
  <si>
    <t>ICP: Chất lượng data KH trên CRM</t>
  </si>
  <si>
    <t>Data chính xác, không trùng, đủ thông tin bắt buộc.
SĐT, email, CCCD, nhóm ICP, trạng thái, lịch sử GD.</t>
  </si>
  <si>
    <t>CRM: (Record sạch / Tổng record) × 100%
Random sample check hàng tháng
Báo cáo data quality từ CRM</t>
  </si>
  <si>
    <t>≥98% data sạch
0 sai sót nghiêm trọng</t>
  </si>
  <si>
    <t>21</t>
  </si>
  <si>
    <t>AAR: Số KH tái kích hoạt / tháng</t>
  </si>
  <si>
    <t>1-3 KH/tháng
(có ≥1 lệnh GD mới)</t>
  </si>
  <si>
    <t>LTV: Phí GD phát sinh từ KH tái kích hoạt</t>
  </si>
  <si>
    <t>Doanh thu phí GD thực tế từ KH đã tái kích hoạt.
Đo LTV (Lifetime Value) — giá trị trọn đời KH theo chuẩn quốc tế.</t>
  </si>
  <si>
    <t>CRM: Tổng phí GD từ KH tái kích hoạt
Báo cáo phí Home/FLEX
Revenue report CN</t>
  </si>
  <si>
    <t>23</t>
  </si>
  <si>
    <t>TỔNG CỘNG</t>
  </si>
  <si>
    <t>THANG THƯỞNG KPI (PHẦN SALES ADMIN) THEO NĂM</t>
  </si>
  <si>
    <t>MỨC ĐẠT</t>
  </si>
  <si>
    <t>THƯỞNG</t>
  </si>
  <si>
    <t>XẾP LOẠI</t>
  </si>
  <si>
    <t>100%</t>
  </si>
  <si>
    <t>3,000,000 VNĐ</t>
  </si>
  <si>
    <t>Xuất sắc</t>
  </si>
  <si>
    <t>95%</t>
  </si>
  <si>
    <t>2,500,000 VNĐ</t>
  </si>
  <si>
    <t>Tốt</t>
  </si>
  <si>
    <t>90%</t>
  </si>
  <si>
    <t>2,000,000 VNĐ</t>
  </si>
  <si>
    <t>Khá</t>
  </si>
  <si>
    <t>80%</t>
  </si>
  <si>
    <t>Đạt</t>
  </si>
  <si>
    <t>&lt; 80%</t>
  </si>
  <si>
    <t>Không thưởng</t>
  </si>
  <si>
    <t>Cần cải thiện</t>
  </si>
  <si>
    <t>KHUNG KPI SALES ADMIN — CẤP SUP TRỞ LÊN</t>
  </si>
  <si>
    <t>Quản lý, giám sát NV giao dịch</t>
  </si>
  <si>
    <t>Kiểm tra &amp; giám sát mọi nghiệp vụ NV hàng ngày. Đào tạo NV nghiệp vụ mới, hỗ trợ xử lý tình huống.</t>
  </si>
  <si>
    <t>0 sai sót do thiếu hướng dẫn
≥90% feedback từ LM
Nhật ký giám sát KSNB</t>
  </si>
  <si>
    <t>100% NV được giám sát
0 sai sót</t>
  </si>
  <si>
    <t>Giám sát mở TK + lệnh GD</t>
  </si>
  <si>
    <t>Giám sát NV mở TK (EKYC, form, Flex) &amp; nhập lệnh. Xử lý trường hợp phát sinh.</t>
  </si>
  <si>
    <t>Tỷ lệ lỗi NV dưới quyền
KSNB 
Log Flex</t>
  </si>
  <si>
    <t>0 lỗi HĐ + phiếu lệnh</t>
  </si>
  <si>
    <t>Giám sát lưu ký + GD tiền + ký quỹ</t>
  </si>
  <si>
    <t>Giám sát VSDC, chuyển tiền, ĐKCT, ký quỹ. Duyệt chứng từ trước xử lý.</t>
  </si>
  <si>
    <t>Tỷ lệ SLA + Sai sót NV
Base Workflow 
VSDC confirmation</t>
  </si>
  <si>
    <t>100% SLA
0 sai sót ảnh hưởng KH</t>
  </si>
  <si>
    <t>Hiệu quả quản lý NV (liên đới)</t>
  </si>
  <si>
    <t>Sup chịu trách nhiệm liên đới lỗi NV. 0 vi phạm nghiêm trọng, NV không tái phạm sau ĐT.</t>
  </si>
  <si>
    <t>Tổng lỗi NV / Tổng NV thực hiện
Biên bản KSNB 
Feedback 360°</t>
  </si>
  <si>
    <t>NV: 0 lỗi nghiêm trọng
≥90% feedback +</t>
  </si>
  <si>
    <t>Công việc vận hành khác</t>
  </si>
  <si>
    <t>Phân công NV chuẩn bị KSNB, hành chính, báo cáo GĐCN. Kiểm tra chất lượng trước gửi.</t>
  </si>
  <si>
    <t>(Số việc xong / Tổng giao) × 100%
GĐCN xác nhận 
Base workflow</t>
  </si>
  <si>
    <t>100% hoàn thành</t>
  </si>
  <si>
    <t>8</t>
  </si>
  <si>
    <t>Dẫn dắt dự án</t>
  </si>
  <si>
    <t>≥1 dự án/quý
100% đúng hạn</t>
  </si>
  <si>
    <t>9</t>
  </si>
  <si>
    <t>Đề xuất cải tiến SP/DV + quy trình</t>
  </si>
  <si>
    <t>Đề xuất cải tiến SP, công cụ, quy trình. Xây checklist mới, đào tạo NV.</t>
  </si>
  <si>
    <t>Số đề xuất duyệt/quý
Số QT cải tiến + % NV nắm
Kết quả trước/sau</t>
  </si>
  <si>
    <t>≥1 SP đề xuất/quý
≥1 QT cải tiến/quý</t>
  </si>
  <si>
    <t>A3. TUÂN THỦ &amp; THÁI ĐỘ LÃNH ĐẠO — 11% (↑)</t>
  </si>
  <si>
    <t>Tuân thủ &amp; nêu gương</t>
  </si>
  <si>
    <t>Nêu gương nội quy, nhắc nhở NV. 0 vi phạm cá nhân + đội nhóm.</t>
  </si>
  <si>
    <t>Số vi phạm = 0
Biên bản HR 
LM review</t>
  </si>
  <si>
    <t>0 vi phạm</t>
  </si>
  <si>
    <t>Xây dựng đội nhóm &amp; sự kiện</t>
  </si>
  <si>
    <t>Tạo môi trường tích cực, hỗ trợ NV phát triển. Tham gia &amp; khuyến khích NV tham gia SK.</t>
  </si>
  <si>
    <t>Feedback 360° 
Team KPI results
(SK tham gia / Tổng SK) × 100%</t>
  </si>
  <si>
    <t>≥90% tích cực
Team ≥90% KPI
≥85% team SK</t>
  </si>
  <si>
    <t>Kiểm tra kiến thức + chứng chỉ</t>
  </si>
  <si>
    <t>Điểm thi E-learning. Hoàn thành chứng chỉ + đào tạo HR &amp; SS.</t>
  </si>
  <si>
    <t>Điểm / Tổng × 100%
(Buổi ĐT / Tổng) × 100%</t>
  </si>
  <si>
    <t>≥80% thi
100% CC · ≥90% ĐT</t>
  </si>
  <si>
    <t>6T/Năm</t>
  </si>
  <si>
    <t>Cập nhật &amp; lan truyền kiến thức</t>
  </si>
  <si>
    <t>Nắm quy định mới → truyền NV trong 2 ngày. Chia sẻ kiến thức, tài liệu ĐT.</t>
  </si>
  <si>
    <t>Quiz × 100% 
Thời gian truyền đạt
Số buổi chia sẻ + tài liệu
Feedback NV</t>
  </si>
  <si>
    <t>≥85% quiz
≥2 buổi/năm
≥1 tài liệu/năm</t>
  </si>
  <si>
    <t>CRM: Đếm cuộc gọi outbound
Call log tự động từ CRM
File quản lý KH</t>
  </si>
  <si>
    <t>(Số KH nghe máy / Tổng KH gọi) × 100%
CRM call tracking
Phân tích khung giờ hiệu quả</t>
  </si>
  <si>
    <t>Dựa trên phản hồi thực tế, phân KH vào 5 nhóm trên CRM:
★ RẤT TIỀM NĂNG — Đã giao dịch trở lại
★ TIỀM NĂNG — Có nhu cầu nhưng chưa phát sinh GD
★ NUÔI DƯỠNG — Nghe máy, trao đổi, chưa có nhu cầu hiện tại
★ ẢO — Nghe máy: phản hồi không nhu cầu, không có thông tin, thuê bao/nhầm số ... 
★ KHÔNG NGHE MÁY (chia làm 2 loại có NAV và không NAV)</t>
  </si>
  <si>
    <t>CRM: (KH phân nhóm + có ghi chú lý do / Tổng KH gọi) × 100%
Ghi chú phải đúng định nghĩa nhóm CRM (có sẵn checklist)
Leader audit hàng tuần → chỉ để coaching, KHÔNG tính KPI</t>
  </si>
  <si>
    <t>KH inactive (không GD &gt;6 tháng) → SA gọi → quay lại có ≥1 GD mới.
Chỉ tiêu khuyến khích, phụ thuộc thị trường &amp; nhu cầu KH.
KH nhóm "Rất tiềm năng" trên CRM.</t>
  </si>
  <si>
    <t>CRM: Đếm KH chuyển inactive → active
AAR = Số KH tái GD / Tổng KH inactive được gọi × 100%
Mapping: SA gọi → KH có GD mới
Xác nhận LM/NVQLTK</t>
  </si>
  <si>
    <t>24</t>
  </si>
  <si>
    <t>≥10% tổng phí target
hoặc theo LM giao</t>
  </si>
  <si>
    <t>25</t>
  </si>
  <si>
    <t>Giới thiệu chương trình Referral cho KH</t>
  </si>
  <si>
    <t>CRM: (Cuộc gọi TP/RTP có note 'đã giới thiệu referral' / Tổng cuộc gọi TP/RTP) × 100%
Leader kiểm tra call note hàng tuần</t>
  </si>
  <si>
    <t>26</t>
  </si>
  <si>
    <t>100% KH gọi được phân nhóm trong ngày
100% có ghi chú lý do theo chuẩn CRM</t>
  </si>
  <si>
    <t>A2. DỰ ÁN &amp; CẢI TIẾN — 15% (↑ tăng)</t>
  </si>
  <si>
    <t>Thực hiện dự án nâng cao DV/vận hành. Báo cáo tiến độ BOM.</t>
  </si>
  <si>
    <t>A4. KIẾN THỨC &amp; HỌC HỎI — 10%</t>
  </si>
  <si>
    <t>SA chủ động nhắc chương trình 'Khách mời bạn bè' với KH nhóm Tiềm năng / Rất tiềm năng trong mỗi cuộc gọi, ghi nhận vào CRM.
Nếu KH referral thành công → ghi nhận</t>
  </si>
  <si>
    <t>≥80% cuộc gọi với KH Tiềm năng &amp; Rất tiềm năng
có ghi chú đã giới thiệu chương trình Referral</t>
  </si>
  <si>
    <t>B4. HỖ TRỢ CHĂM SÓC KHÁCH HÀNG VÀ GIỚI THIỆU SP; TỶ LỆ CHUYỂN ĐỔI NHÓM KH — 8%</t>
  </si>
  <si>
    <t>Số KH được hỗ trợ chăm sóc thành công</t>
  </si>
  <si>
    <t>Hướng dẫn và hỗ trợ, chăm sóc khách hàng, giải đáp thắc mắc nghiệp vụ những khách hàng. Log đầy đủ vào CRM.</t>
  </si>
  <si>
    <t>CRM: Số KH được SA liên hệ hỗ trợ / tháng (có ghi note nội dung)</t>
  </si>
  <si>
    <t>100% được hỗ trợ thành công
≥90% feedback</t>
  </si>
  <si>
    <t>Số KH sử dụng dịch vụ/sản phẩm mới</t>
  </si>
  <si>
    <t>SA giới thiệu SP phù hợp ICP từng KH (phái sinh, margin, SP mới...). Chỉ tính KH thực sự đăng ký/kích hoạt SP sau khi SA giới thiệu — không đo số lần SA giới thiệu.</t>
  </si>
  <si>
    <t>CRM: Số KH đăng ký SP mới trong kỳ, có ghi nhận SA là người giới thiệu</t>
  </si>
  <si>
    <t xml:space="preserve">≥1 KH/quý sử dụng SP mới </t>
  </si>
  <si>
    <t>Tỷ lệ chuyển đổi nhóm KH</t>
  </si>
  <si>
    <t>Sau quá trình SA tái tiếp cận, KH trong nhóm Nuôi dưỡng / Không nghe máy được nâng lên nhóm Tiềm năng hoặc Rất tiềm năng dựa trên phản hồi thực tế. Phản ánh chất lượng cuộc gọi và kỹ năng phân loại của SA.</t>
  </si>
  <si>
    <t>CRM: (Số KH chuyển lên nhóm TP/RTP / Tổng KH nhóm thấp được gọi lại trong kỳ) × 100%</t>
  </si>
  <si>
    <t>≥5% tỷ lệ chuyển đổi / quý</t>
  </si>
  <si>
    <t>ADMIN (60%) + SALE/CSKH (40%) = 100%   Trọng tâm: Quản lý NV + Dẫn dắt dự án</t>
  </si>
  <si>
    <t>A1. VẬN HÀNH &amp; QUẢN LÝ NV — 24% (↓ tập trung giám sát)</t>
  </si>
  <si>
    <t>ADMIN (60%) + SALE/CSKH (40%) = 100%    Đo lường qua CRM</t>
  </si>
  <si>
    <t>B1. GỌI ĐIỆN &amp; TIẾP CẬN KH INACTIVE — 12%</t>
  </si>
  <si>
    <t>B2. 💎 ICP — PHÂN NHÓM KH TRÊN CRM (Ideal Customer Profile) — 8%</t>
  </si>
  <si>
    <t>B3. 🚀 AAR — TÁI KÍCH HOẠT GIAO DỊCH (Account Activation Rate) — 12%</t>
  </si>
  <si>
    <t>A: 60% (A1:36% + A2:10% + A3:5% + A4:9%)  |  B: 40% (B1:12% + B2-ICP:8% + B3-AAR:12% + B4:8%)</t>
  </si>
  <si>
    <t>A: 60% (A1:24% + A2:15% + A3:11% + A4:10%)  |  B: 40% (B1:12% + B2-ICP:8% + B3-AAR:12% + B4:8%)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</si>
</sst>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charset val="1"/>
    </font>
    <font>
      <b/>
      <sz val="14"/>
      <color rgb="FFFFFFFF"/>
      <name val="Times New Roman"/>
      <family val="1"/>
    </font>
    <font>
      <sz val="11"/>
      <color theme="1"/>
      <name val="Times New Roman"/>
      <family val="1"/>
    </font>
    <font>
      <b/>
      <sz val="10"/>
      <color rgb="FFFFFFFF"/>
      <name val="Times New Roman"/>
      <family val="1"/>
    </font>
    <font>
      <b/>
      <sz val="11"/>
      <color rgb="FF1B4332"/>
      <name val="Times New Roman"/>
      <family val="1"/>
    </font>
    <font>
      <b/>
      <sz val="10"/>
      <color rgb="FF333333"/>
      <name val="Times New Roman"/>
      <family val="1"/>
    </font>
    <font>
      <sz val="10"/>
      <color rgb="FF333333"/>
      <name val="Times New Roman"/>
      <family val="1"/>
    </font>
    <font>
      <b/>
      <sz val="10"/>
      <color rgb="FF457B9D"/>
      <name val="Times New Roman"/>
      <family val="1"/>
    </font>
    <font>
      <sz val="9"/>
      <color rgb="FF666666"/>
      <name val="Times New Roman"/>
      <family val="1"/>
    </font>
    <font>
      <b/>
      <sz val="11"/>
      <color rgb="FFFFFFFF"/>
      <name val="Times New Roman"/>
      <family val="1"/>
    </font>
    <font>
      <b/>
      <sz val="9"/>
      <color rgb="FFFFFFFF"/>
      <name val="Times New Roman"/>
      <family val="1"/>
    </font>
  </fonts>
  <fills count="9">
    <fill>
      <patternFill patternType="none"/>
    </fill>
    <fill>
      <patternFill patternType="gray125"/>
    </fill>
    <fill>
      <patternFill patternType="solid">
        <fgColor rgb="FF1B4332"/>
        <bgColor rgb="FF333333"/>
      </patternFill>
    </fill>
    <fill>
      <patternFill patternType="solid">
        <fgColor rgb="FF2D6A4F"/>
        <bgColor rgb="FF457B9D"/>
      </patternFill>
    </fill>
    <fill>
      <patternFill patternType="solid">
        <fgColor rgb="FFD8F3DC"/>
        <bgColor rgb="FFF0FAF4"/>
      </patternFill>
    </fill>
    <fill>
      <patternFill patternType="solid">
        <fgColor rgb="FFF5F5F5"/>
        <bgColor rgb="FFF0FAF4"/>
      </patternFill>
    </fill>
    <fill>
      <patternFill patternType="solid">
        <fgColor rgb="FFFFFFFF"/>
        <bgColor rgb="FFF8FBFF"/>
      </patternFill>
    </fill>
    <fill>
      <patternFill patternType="solid">
        <fgColor rgb="FFF0FAF4"/>
        <bgColor rgb="FFF5F5F5"/>
      </patternFill>
    </fill>
    <fill>
      <patternFill patternType="solid">
        <fgColor rgb="FFEDF5FF"/>
        <bgColor rgb="FFF5F5F5"/>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right style="thin">
        <color rgb="FFCCCCCC"/>
      </right>
      <top style="thin">
        <color rgb="FFCCCCCC"/>
      </top>
      <bottom style="thin">
        <color rgb="FFCCCCCC"/>
      </bottom>
      <diagonal/>
    </border>
    <border>
      <left style="thin">
        <color rgb="FFD0D0D0"/>
      </left>
      <right/>
      <top style="thin">
        <color rgb="FFD0D0D0"/>
      </top>
      <bottom/>
      <diagonal/>
    </border>
  </borders>
  <cellStyleXfs count="1">
    <xf numFmtId="0" fontId="0" fillId="0" borderId="0"/>
  </cellStyleXfs>
  <cellXfs count="41">
    <xf numFmtId="0" fontId="0" fillId="0" borderId="0" xfId="0"/>
    <xf numFmtId="0" fontId="2" fillId="0" borderId="0" xfId="0" applyFont="1"/>
    <xf numFmtId="0" fontId="2" fillId="0" borderId="0" xfId="0" applyFont="1" applyFill="1"/>
    <xf numFmtId="0" fontId="5" fillId="0" borderId="0" xfId="0" applyFont="1" applyAlignment="1">
      <alignment vertical="center"/>
    </xf>
    <xf numFmtId="0" fontId="8" fillId="0" borderId="0" xfId="0" applyFont="1" applyAlignment="1">
      <alignment vertical="top" wrapText="1"/>
    </xf>
    <xf numFmtId="0" fontId="6" fillId="0" borderId="0" xfId="0" applyFont="1" applyAlignment="1">
      <alignment vertical="top" wrapText="1"/>
    </xf>
    <xf numFmtId="0" fontId="6" fillId="0" borderId="0" xfId="0" applyFont="1" applyAlignment="1">
      <alignment horizontal="center" vertical="top"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3" fillId="2"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 xfId="0" applyFont="1" applyFill="1" applyBorder="1" applyAlignment="1">
      <alignment horizontal="center" vertical="top" wrapText="1"/>
    </xf>
    <xf numFmtId="0" fontId="6" fillId="6" borderId="2" xfId="0" applyFont="1" applyFill="1" applyBorder="1" applyAlignment="1">
      <alignment vertical="top" wrapText="1"/>
    </xf>
    <xf numFmtId="9" fontId="7" fillId="6" borderId="2" xfId="0" applyNumberFormat="1" applyFont="1" applyFill="1" applyBorder="1" applyAlignment="1">
      <alignment horizontal="center" vertical="top" wrapText="1"/>
    </xf>
    <xf numFmtId="0" fontId="8" fillId="6" borderId="2" xfId="0" applyFont="1" applyFill="1" applyBorder="1" applyAlignment="1">
      <alignment vertical="top" wrapText="1"/>
    </xf>
    <xf numFmtId="0" fontId="4" fillId="4" borderId="2" xfId="0" applyFont="1" applyFill="1" applyBorder="1" applyAlignment="1">
      <alignment vertical="center"/>
    </xf>
    <xf numFmtId="0" fontId="2" fillId="4" borderId="2" xfId="0" applyFont="1" applyFill="1" applyBorder="1"/>
    <xf numFmtId="0" fontId="5" fillId="5" borderId="2" xfId="0" applyFont="1" applyFill="1" applyBorder="1" applyAlignment="1">
      <alignment vertical="center"/>
    </xf>
    <xf numFmtId="0" fontId="2" fillId="5" borderId="2" xfId="0" applyFont="1" applyFill="1" applyBorder="1"/>
    <xf numFmtId="0" fontId="5" fillId="7" borderId="2" xfId="0" applyFont="1" applyFill="1" applyBorder="1" applyAlignment="1">
      <alignment vertical="center"/>
    </xf>
    <xf numFmtId="0" fontId="2" fillId="7" borderId="2" xfId="0" applyFont="1" applyFill="1" applyBorder="1"/>
    <xf numFmtId="0" fontId="6" fillId="0" borderId="2" xfId="0" applyFont="1" applyFill="1" applyBorder="1" applyAlignment="1">
      <alignment horizontal="center" vertical="top" wrapText="1"/>
    </xf>
    <xf numFmtId="0" fontId="6" fillId="0" borderId="2" xfId="0" applyFont="1" applyFill="1" applyBorder="1" applyAlignment="1">
      <alignment vertical="top" wrapText="1"/>
    </xf>
    <xf numFmtId="9" fontId="7" fillId="0" borderId="2" xfId="0" applyNumberFormat="1" applyFont="1" applyFill="1" applyBorder="1" applyAlignment="1">
      <alignment horizontal="center" vertical="top" wrapText="1"/>
    </xf>
    <xf numFmtId="0" fontId="8" fillId="0" borderId="2" xfId="0" applyFont="1" applyFill="1" applyBorder="1" applyAlignment="1">
      <alignment vertical="top" wrapText="1"/>
    </xf>
    <xf numFmtId="0" fontId="5" fillId="8" borderId="2" xfId="0" applyFont="1" applyFill="1" applyBorder="1" applyAlignment="1">
      <alignment vertical="center"/>
    </xf>
    <xf numFmtId="0" fontId="2" fillId="8" borderId="2" xfId="0" applyFont="1" applyFill="1" applyBorder="1"/>
    <xf numFmtId="164" fontId="9" fillId="2" borderId="2"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9" fontId="9" fillId="2" borderId="2"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5" fillId="5" borderId="2" xfId="0" applyFont="1" applyFill="1" applyBorder="1" applyAlignment="1">
      <alignment vertical="center"/>
    </xf>
    <xf numFmtId="0" fontId="1"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2" xfId="0" applyFont="1" applyFill="1" applyBorder="1" applyAlignment="1">
      <alignment vertical="center"/>
    </xf>
    <xf numFmtId="0" fontId="5" fillId="5" borderId="2" xfId="0" applyFont="1" applyFill="1" applyBorder="1" applyAlignment="1">
      <alignment horizontal="left" vertical="center" wrapText="1"/>
    </xf>
    <xf numFmtId="0" fontId="10"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CCCCCC"/>
      <rgbColor rgb="FF808080"/>
      <rgbColor rgb="FF9999FF"/>
      <rgbColor rgb="FF993366"/>
      <rgbColor rgb="FFF7FDF9"/>
      <rgbColor rgb="FFEDF5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0FAF4"/>
      <rgbColor rgb="FFD8F3DC"/>
      <rgbColor rgb="FFF5F5F5"/>
      <rgbColor rgb="FF99CCFF"/>
      <rgbColor rgb="FFFF99CC"/>
      <rgbColor rgb="FFCC99FF"/>
      <rgbColor rgb="FFF8FBFF"/>
      <rgbColor rgb="FF3366FF"/>
      <rgbColor rgb="FF33CCCC"/>
      <rgbColor rgb="FF99CC00"/>
      <rgbColor rgb="FFFFCC00"/>
      <rgbColor rgb="FFFF9900"/>
      <rgbColor rgb="FFFF6600"/>
      <rgbColor rgb="FF666666"/>
      <rgbColor rgb="FF969696"/>
      <rgbColor rgb="FF003366"/>
      <rgbColor rgb="FF457B9D"/>
      <rgbColor rgb="FF003300"/>
      <rgbColor rgb="FF1B4332"/>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
  <sheetViews>
    <sheetView tabSelected="1" topLeftCell="A10" zoomScaleNormal="100" workbookViewId="0">
      <selection activeCell="F40" sqref="F40"/>
    </sheetView>
  </sheetViews>
  <sheetFormatPr defaultColWidth="8.6640625" defaultRowHeight="13.8" x14ac:dyDescent="0.25"/>
  <cols>
    <col min="1" max="1" width="11" style="1" customWidth="1"/>
    <col min="2" max="2" width="28" style="1" customWidth="1"/>
    <col min="3" max="3" width="12.33203125" style="1" bestFit="1" customWidth="1"/>
    <col min="4" max="4" width="50" style="1" customWidth="1"/>
    <col min="5" max="5" width="32.5546875" style="1" customWidth="1"/>
    <col min="6" max="6" width="36.33203125" style="1" customWidth="1"/>
    <col min="7" max="7" width="14.5546875" style="1" customWidth="1"/>
    <col min="8" max="16384" width="8.6640625" style="1"/>
  </cols>
  <sheetData>
    <row r="1" spans="1:7" ht="17.399999999999999" x14ac:dyDescent="0.25">
      <c r="A1" s="36" t="s">
        <v>0</v>
      </c>
      <c r="B1" s="36"/>
      <c r="C1" s="36"/>
      <c r="D1" s="36"/>
      <c r="E1" s="36"/>
      <c r="F1" s="36"/>
      <c r="G1" s="36"/>
    </row>
    <row r="2" spans="1:7" x14ac:dyDescent="0.25">
      <c r="A2" s="37" t="s">
        <v>207</v>
      </c>
      <c r="B2" s="37"/>
      <c r="C2" s="37"/>
      <c r="D2" s="37"/>
      <c r="E2" s="37"/>
      <c r="F2" s="37"/>
      <c r="G2" s="37"/>
    </row>
    <row r="3" spans="1:7" x14ac:dyDescent="0.25">
      <c r="A3" s="10" t="s">
        <v>1</v>
      </c>
      <c r="B3" s="10" t="s">
        <v>2</v>
      </c>
      <c r="C3" s="10" t="s">
        <v>3</v>
      </c>
      <c r="D3" s="10" t="s">
        <v>4</v>
      </c>
      <c r="E3" s="10" t="s">
        <v>5</v>
      </c>
      <c r="F3" s="10" t="s">
        <v>6</v>
      </c>
      <c r="G3" s="10" t="s">
        <v>7</v>
      </c>
    </row>
    <row r="4" spans="1:7" x14ac:dyDescent="0.25">
      <c r="A4" s="38" t="s">
        <v>8</v>
      </c>
      <c r="B4" s="38"/>
      <c r="C4" s="38"/>
      <c r="D4" s="38"/>
      <c r="E4" s="38"/>
      <c r="F4" s="38"/>
      <c r="G4" s="38"/>
    </row>
    <row r="5" spans="1:7" x14ac:dyDescent="0.25">
      <c r="A5" s="39" t="s">
        <v>9</v>
      </c>
      <c r="B5" s="39"/>
      <c r="C5" s="39"/>
      <c r="D5" s="39"/>
      <c r="E5" s="39"/>
      <c r="F5" s="39"/>
      <c r="G5" s="39"/>
    </row>
    <row r="6" spans="1:7" ht="39.6" x14ac:dyDescent="0.25">
      <c r="A6" s="12" t="s">
        <v>10</v>
      </c>
      <c r="B6" s="13" t="s">
        <v>11</v>
      </c>
      <c r="C6" s="14">
        <v>7.0000000000000007E-2</v>
      </c>
      <c r="D6" s="13" t="s">
        <v>12</v>
      </c>
      <c r="E6" s="15" t="s">
        <v>13</v>
      </c>
      <c r="F6" s="13" t="s">
        <v>14</v>
      </c>
      <c r="G6" s="12" t="s">
        <v>15</v>
      </c>
    </row>
    <row r="7" spans="1:7" ht="48" x14ac:dyDescent="0.25">
      <c r="A7" s="12" t="s">
        <v>16</v>
      </c>
      <c r="B7" s="13" t="s">
        <v>17</v>
      </c>
      <c r="C7" s="14">
        <v>0.05</v>
      </c>
      <c r="D7" s="13" t="s">
        <v>18</v>
      </c>
      <c r="E7" s="15" t="s">
        <v>19</v>
      </c>
      <c r="F7" s="13" t="s">
        <v>20</v>
      </c>
      <c r="G7" s="12" t="s">
        <v>21</v>
      </c>
    </row>
    <row r="8" spans="1:7" ht="48" x14ac:dyDescent="0.25">
      <c r="A8" s="12" t="s">
        <v>22</v>
      </c>
      <c r="B8" s="13" t="s">
        <v>23</v>
      </c>
      <c r="C8" s="14">
        <v>7.0000000000000007E-2</v>
      </c>
      <c r="D8" s="13" t="s">
        <v>24</v>
      </c>
      <c r="E8" s="15" t="s">
        <v>25</v>
      </c>
      <c r="F8" s="13" t="s">
        <v>26</v>
      </c>
      <c r="G8" s="12" t="s">
        <v>15</v>
      </c>
    </row>
    <row r="9" spans="1:7" ht="48" x14ac:dyDescent="0.25">
      <c r="A9" s="12" t="s">
        <v>27</v>
      </c>
      <c r="B9" s="13" t="s">
        <v>28</v>
      </c>
      <c r="C9" s="14">
        <v>0.05</v>
      </c>
      <c r="D9" s="13" t="s">
        <v>29</v>
      </c>
      <c r="E9" s="15" t="s">
        <v>30</v>
      </c>
      <c r="F9" s="13" t="s">
        <v>31</v>
      </c>
      <c r="G9" s="12" t="s">
        <v>21</v>
      </c>
    </row>
    <row r="10" spans="1:7" ht="48" x14ac:dyDescent="0.25">
      <c r="A10" s="12" t="s">
        <v>32</v>
      </c>
      <c r="B10" s="13" t="s">
        <v>33</v>
      </c>
      <c r="C10" s="14">
        <v>7.0000000000000007E-2</v>
      </c>
      <c r="D10" s="13" t="s">
        <v>34</v>
      </c>
      <c r="E10" s="15" t="s">
        <v>35</v>
      </c>
      <c r="F10" s="13" t="s">
        <v>36</v>
      </c>
      <c r="G10" s="12" t="s">
        <v>21</v>
      </c>
    </row>
    <row r="11" spans="1:7" ht="48" x14ac:dyDescent="0.25">
      <c r="A11" s="12" t="s">
        <v>37</v>
      </c>
      <c r="B11" s="13" t="s">
        <v>38</v>
      </c>
      <c r="C11" s="14">
        <v>0.05</v>
      </c>
      <c r="D11" s="13" t="s">
        <v>39</v>
      </c>
      <c r="E11" s="15" t="s">
        <v>40</v>
      </c>
      <c r="F11" s="13" t="s">
        <v>41</v>
      </c>
      <c r="G11" s="12" t="s">
        <v>42</v>
      </c>
    </row>
    <row r="12" spans="1:7" x14ac:dyDescent="0.25">
      <c r="A12" s="35" t="s">
        <v>43</v>
      </c>
      <c r="B12" s="35"/>
      <c r="C12" s="35"/>
      <c r="D12" s="35"/>
      <c r="E12" s="35"/>
      <c r="F12" s="35"/>
      <c r="G12" s="35"/>
    </row>
    <row r="13" spans="1:7" ht="36" x14ac:dyDescent="0.25">
      <c r="A13" s="12" t="s">
        <v>44</v>
      </c>
      <c r="B13" s="13" t="s">
        <v>45</v>
      </c>
      <c r="C13" s="14">
        <v>0.06</v>
      </c>
      <c r="D13" s="13" t="s">
        <v>46</v>
      </c>
      <c r="E13" s="15" t="s">
        <v>47</v>
      </c>
      <c r="F13" s="13" t="s">
        <v>48</v>
      </c>
      <c r="G13" s="12" t="s">
        <v>49</v>
      </c>
    </row>
    <row r="14" spans="1:7" ht="36" x14ac:dyDescent="0.25">
      <c r="A14" s="12" t="s">
        <v>50</v>
      </c>
      <c r="B14" s="13" t="s">
        <v>51</v>
      </c>
      <c r="C14" s="14">
        <v>0.04</v>
      </c>
      <c r="D14" s="13" t="s">
        <v>52</v>
      </c>
      <c r="E14" s="15" t="s">
        <v>53</v>
      </c>
      <c r="F14" s="13" t="s">
        <v>54</v>
      </c>
      <c r="G14" s="12" t="s">
        <v>49</v>
      </c>
    </row>
    <row r="15" spans="1:7" x14ac:dyDescent="0.25">
      <c r="A15" s="35" t="s">
        <v>55</v>
      </c>
      <c r="B15" s="35"/>
      <c r="C15" s="35"/>
      <c r="D15" s="35"/>
      <c r="E15" s="35"/>
      <c r="F15" s="35"/>
      <c r="G15" s="35"/>
    </row>
    <row r="16" spans="1:7" ht="48" x14ac:dyDescent="0.25">
      <c r="A16" s="12" t="s">
        <v>56</v>
      </c>
      <c r="B16" s="13" t="s">
        <v>57</v>
      </c>
      <c r="C16" s="14">
        <v>0.03</v>
      </c>
      <c r="D16" s="13" t="s">
        <v>58</v>
      </c>
      <c r="E16" s="15" t="s">
        <v>59</v>
      </c>
      <c r="F16" s="13" t="s">
        <v>60</v>
      </c>
      <c r="G16" s="12" t="s">
        <v>61</v>
      </c>
    </row>
    <row r="17" spans="1:7" ht="36" x14ac:dyDescent="0.25">
      <c r="A17" s="12" t="s">
        <v>62</v>
      </c>
      <c r="B17" s="13" t="s">
        <v>63</v>
      </c>
      <c r="C17" s="14">
        <v>0.02</v>
      </c>
      <c r="D17" s="13" t="s">
        <v>64</v>
      </c>
      <c r="E17" s="15" t="s">
        <v>65</v>
      </c>
      <c r="F17" s="13" t="s">
        <v>66</v>
      </c>
      <c r="G17" s="12" t="s">
        <v>67</v>
      </c>
    </row>
    <row r="18" spans="1:7" x14ac:dyDescent="0.25">
      <c r="A18" s="35" t="s">
        <v>68</v>
      </c>
      <c r="B18" s="35"/>
      <c r="C18" s="35"/>
      <c r="D18" s="35"/>
      <c r="E18" s="35"/>
      <c r="F18" s="35"/>
      <c r="G18" s="35"/>
    </row>
    <row r="19" spans="1:7" ht="24" x14ac:dyDescent="0.25">
      <c r="A19" s="12" t="s">
        <v>69</v>
      </c>
      <c r="B19" s="13" t="s">
        <v>70</v>
      </c>
      <c r="C19" s="14">
        <v>0.03</v>
      </c>
      <c r="D19" s="13" t="s">
        <v>71</v>
      </c>
      <c r="E19" s="15" t="s">
        <v>72</v>
      </c>
      <c r="F19" s="13" t="s">
        <v>73</v>
      </c>
      <c r="G19" s="12" t="s">
        <v>67</v>
      </c>
    </row>
    <row r="20" spans="1:7" ht="26.4" x14ac:dyDescent="0.25">
      <c r="A20" s="12" t="s">
        <v>74</v>
      </c>
      <c r="B20" s="13" t="s">
        <v>75</v>
      </c>
      <c r="C20" s="14">
        <v>0.03</v>
      </c>
      <c r="D20" s="13" t="s">
        <v>76</v>
      </c>
      <c r="E20" s="15" t="s">
        <v>77</v>
      </c>
      <c r="F20" s="13" t="s">
        <v>78</v>
      </c>
      <c r="G20" s="12" t="s">
        <v>79</v>
      </c>
    </row>
    <row r="21" spans="1:7" ht="36" x14ac:dyDescent="0.25">
      <c r="A21" s="12" t="s">
        <v>80</v>
      </c>
      <c r="B21" s="13" t="s">
        <v>81</v>
      </c>
      <c r="C21" s="14">
        <v>0.03</v>
      </c>
      <c r="D21" s="13" t="s">
        <v>82</v>
      </c>
      <c r="E21" s="15" t="s">
        <v>83</v>
      </c>
      <c r="F21" s="13" t="s">
        <v>84</v>
      </c>
      <c r="G21" s="12" t="s">
        <v>42</v>
      </c>
    </row>
    <row r="22" spans="1:7" x14ac:dyDescent="0.25">
      <c r="A22" s="16" t="s">
        <v>85</v>
      </c>
      <c r="B22" s="17"/>
      <c r="C22" s="17"/>
      <c r="D22" s="17"/>
      <c r="E22" s="17"/>
      <c r="F22" s="17"/>
      <c r="G22" s="17"/>
    </row>
    <row r="23" spans="1:7" x14ac:dyDescent="0.25">
      <c r="A23" s="18" t="s">
        <v>208</v>
      </c>
      <c r="B23" s="19"/>
      <c r="C23" s="19"/>
      <c r="D23" s="19"/>
      <c r="E23" s="19"/>
      <c r="F23" s="19"/>
      <c r="G23" s="19"/>
    </row>
    <row r="24" spans="1:7" ht="52.8" x14ac:dyDescent="0.25">
      <c r="A24" s="12" t="s">
        <v>86</v>
      </c>
      <c r="B24" s="13" t="s">
        <v>87</v>
      </c>
      <c r="C24" s="14">
        <v>0.08</v>
      </c>
      <c r="D24" s="13" t="s">
        <v>88</v>
      </c>
      <c r="E24" s="15" t="s">
        <v>174</v>
      </c>
      <c r="F24" s="13" t="s">
        <v>89</v>
      </c>
      <c r="G24" s="12" t="s">
        <v>90</v>
      </c>
    </row>
    <row r="25" spans="1:7" ht="36" x14ac:dyDescent="0.25">
      <c r="A25" s="12" t="s">
        <v>91</v>
      </c>
      <c r="B25" s="13" t="s">
        <v>92</v>
      </c>
      <c r="C25" s="14">
        <v>0.04</v>
      </c>
      <c r="D25" s="13" t="s">
        <v>93</v>
      </c>
      <c r="E25" s="15" t="s">
        <v>175</v>
      </c>
      <c r="F25" s="13" t="s">
        <v>94</v>
      </c>
      <c r="G25" s="12" t="s">
        <v>90</v>
      </c>
    </row>
    <row r="26" spans="1:7" x14ac:dyDescent="0.25">
      <c r="A26" s="20" t="s">
        <v>209</v>
      </c>
      <c r="B26" s="21"/>
      <c r="C26" s="21"/>
      <c r="D26" s="21"/>
      <c r="E26" s="21"/>
      <c r="F26" s="21"/>
      <c r="G26" s="21"/>
    </row>
    <row r="27" spans="1:7" s="2" customFormat="1" ht="158.4" x14ac:dyDescent="0.25">
      <c r="A27" s="22" t="s">
        <v>96</v>
      </c>
      <c r="B27" s="23" t="s">
        <v>95</v>
      </c>
      <c r="C27" s="24">
        <v>0.04</v>
      </c>
      <c r="D27" s="23" t="s">
        <v>176</v>
      </c>
      <c r="E27" s="25" t="s">
        <v>177</v>
      </c>
      <c r="F27" s="23" t="s">
        <v>186</v>
      </c>
      <c r="G27" s="22" t="s">
        <v>21</v>
      </c>
    </row>
    <row r="28" spans="1:7" s="2" customFormat="1" ht="52.8" x14ac:dyDescent="0.25">
      <c r="A28" s="22" t="s">
        <v>101</v>
      </c>
      <c r="B28" s="23" t="s">
        <v>97</v>
      </c>
      <c r="C28" s="24">
        <v>0.04</v>
      </c>
      <c r="D28" s="23" t="s">
        <v>98</v>
      </c>
      <c r="E28" s="25" t="s">
        <v>99</v>
      </c>
      <c r="F28" s="23" t="s">
        <v>100</v>
      </c>
      <c r="G28" s="22" t="s">
        <v>15</v>
      </c>
    </row>
    <row r="29" spans="1:7" x14ac:dyDescent="0.25">
      <c r="A29" s="26" t="s">
        <v>210</v>
      </c>
      <c r="B29" s="27"/>
      <c r="C29" s="27"/>
      <c r="D29" s="27"/>
      <c r="E29" s="27"/>
      <c r="F29" s="27"/>
      <c r="G29" s="27"/>
    </row>
    <row r="30" spans="1:7" s="2" customFormat="1" ht="66" x14ac:dyDescent="0.25">
      <c r="A30" s="22" t="s">
        <v>107</v>
      </c>
      <c r="B30" s="23" t="s">
        <v>102</v>
      </c>
      <c r="C30" s="24">
        <v>0.06</v>
      </c>
      <c r="D30" s="23" t="s">
        <v>178</v>
      </c>
      <c r="E30" s="25" t="s">
        <v>179</v>
      </c>
      <c r="F30" s="23" t="s">
        <v>103</v>
      </c>
      <c r="G30" s="22" t="s">
        <v>15</v>
      </c>
    </row>
    <row r="31" spans="1:7" s="2" customFormat="1" ht="52.8" x14ac:dyDescent="0.25">
      <c r="A31" s="22" t="s">
        <v>180</v>
      </c>
      <c r="B31" s="23" t="s">
        <v>104</v>
      </c>
      <c r="C31" s="24">
        <v>0.04</v>
      </c>
      <c r="D31" s="23" t="s">
        <v>105</v>
      </c>
      <c r="E31" s="25" t="s">
        <v>106</v>
      </c>
      <c r="F31" s="23" t="s">
        <v>181</v>
      </c>
      <c r="G31" s="22" t="s">
        <v>15</v>
      </c>
    </row>
    <row r="32" spans="1:7" s="2" customFormat="1" ht="66" x14ac:dyDescent="0.25">
      <c r="A32" s="22" t="s">
        <v>182</v>
      </c>
      <c r="B32" s="23" t="s">
        <v>183</v>
      </c>
      <c r="C32" s="24">
        <v>0.02</v>
      </c>
      <c r="D32" s="23" t="s">
        <v>190</v>
      </c>
      <c r="E32" s="25" t="s">
        <v>184</v>
      </c>
      <c r="F32" s="23" t="s">
        <v>191</v>
      </c>
      <c r="G32" s="22" t="s">
        <v>49</v>
      </c>
    </row>
    <row r="33" spans="1:7" x14ac:dyDescent="0.25">
      <c r="A33" s="18" t="s">
        <v>192</v>
      </c>
      <c r="B33" s="19"/>
      <c r="C33" s="19"/>
      <c r="D33" s="19"/>
      <c r="E33" s="19"/>
      <c r="F33" s="19"/>
      <c r="G33" s="19"/>
    </row>
    <row r="34" spans="1:7" ht="39.6" x14ac:dyDescent="0.25">
      <c r="A34" s="12" t="s">
        <v>185</v>
      </c>
      <c r="B34" s="13" t="s">
        <v>193</v>
      </c>
      <c r="C34" s="14">
        <v>0.03</v>
      </c>
      <c r="D34" s="13" t="s">
        <v>194</v>
      </c>
      <c r="E34" s="15" t="s">
        <v>195</v>
      </c>
      <c r="F34" s="13" t="s">
        <v>196</v>
      </c>
      <c r="G34" s="12" t="s">
        <v>15</v>
      </c>
    </row>
    <row r="35" spans="1:7" ht="52.8" x14ac:dyDescent="0.25">
      <c r="A35" s="12">
        <v>27</v>
      </c>
      <c r="B35" s="13" t="s">
        <v>197</v>
      </c>
      <c r="C35" s="14">
        <v>0.02</v>
      </c>
      <c r="D35" s="13" t="s">
        <v>198</v>
      </c>
      <c r="E35" s="15" t="s">
        <v>199</v>
      </c>
      <c r="F35" s="13" t="s">
        <v>200</v>
      </c>
      <c r="G35" s="12" t="s">
        <v>49</v>
      </c>
    </row>
    <row r="36" spans="1:7" ht="66" x14ac:dyDescent="0.25">
      <c r="A36" s="12">
        <v>28</v>
      </c>
      <c r="B36" s="13" t="s">
        <v>201</v>
      </c>
      <c r="C36" s="14">
        <v>0.03</v>
      </c>
      <c r="D36" s="13" t="s">
        <v>202</v>
      </c>
      <c r="E36" s="15" t="s">
        <v>203</v>
      </c>
      <c r="F36" s="13" t="s">
        <v>204</v>
      </c>
      <c r="G36" s="12" t="s">
        <v>49</v>
      </c>
    </row>
    <row r="37" spans="1:7" x14ac:dyDescent="0.25">
      <c r="A37" s="32" t="s">
        <v>108</v>
      </c>
      <c r="B37" s="32"/>
      <c r="C37" s="28">
        <f>SUM(C6:C11)+SUM(C13:C14)+SUM(C16:C17)+SUM(C19:C21)+SUM(C24:C25)+SUM(C27:C28)+SUM(C30:C32)+SUM(C34:C36)</f>
        <v>0.99999999999999989</v>
      </c>
      <c r="D37" s="33" t="s">
        <v>211</v>
      </c>
      <c r="E37" s="33"/>
      <c r="F37" s="33"/>
      <c r="G37" s="33"/>
    </row>
    <row r="38" spans="1:7" x14ac:dyDescent="0.25">
      <c r="A38" s="3"/>
    </row>
    <row r="39" spans="1:7" ht="17.399999999999999" x14ac:dyDescent="0.25">
      <c r="A39" s="34" t="s">
        <v>109</v>
      </c>
      <c r="B39" s="34"/>
      <c r="C39" s="34"/>
      <c r="D39" s="34"/>
      <c r="E39" s="4"/>
      <c r="F39" s="5"/>
      <c r="G39" s="6"/>
    </row>
    <row r="40" spans="1:7" x14ac:dyDescent="0.25">
      <c r="A40" s="10" t="s">
        <v>1</v>
      </c>
      <c r="B40" s="10" t="s">
        <v>110</v>
      </c>
      <c r="C40" s="10" t="s">
        <v>111</v>
      </c>
      <c r="D40" s="10" t="s">
        <v>112</v>
      </c>
      <c r="E40" s="4"/>
      <c r="F40" s="5"/>
      <c r="G40" s="6"/>
    </row>
    <row r="41" spans="1:7" ht="26.4" x14ac:dyDescent="0.25">
      <c r="A41" s="11">
        <v>1</v>
      </c>
      <c r="B41" s="11" t="s">
        <v>113</v>
      </c>
      <c r="C41" s="11" t="s">
        <v>114</v>
      </c>
      <c r="D41" s="11" t="s">
        <v>115</v>
      </c>
    </row>
    <row r="42" spans="1:7" ht="26.4" x14ac:dyDescent="0.25">
      <c r="A42" s="11">
        <v>2</v>
      </c>
      <c r="B42" s="11" t="s">
        <v>116</v>
      </c>
      <c r="C42" s="11" t="s">
        <v>117</v>
      </c>
      <c r="D42" s="11" t="s">
        <v>118</v>
      </c>
    </row>
    <row r="43" spans="1:7" ht="26.4" x14ac:dyDescent="0.25">
      <c r="A43" s="11">
        <v>3</v>
      </c>
      <c r="B43" s="11" t="s">
        <v>119</v>
      </c>
      <c r="C43" s="11" t="s">
        <v>120</v>
      </c>
      <c r="D43" s="11" t="s">
        <v>121</v>
      </c>
    </row>
    <row r="44" spans="1:7" x14ac:dyDescent="0.25">
      <c r="A44" s="11">
        <v>4</v>
      </c>
      <c r="B44" s="11" t="s">
        <v>122</v>
      </c>
      <c r="C44" s="11" t="s">
        <v>125</v>
      </c>
      <c r="D44" s="11" t="s">
        <v>123</v>
      </c>
      <c r="E44" s="7"/>
      <c r="F44" s="7"/>
      <c r="G44" s="7"/>
    </row>
    <row r="45" spans="1:7" x14ac:dyDescent="0.25">
      <c r="A45" s="11">
        <v>5</v>
      </c>
      <c r="B45" s="11" t="s">
        <v>124</v>
      </c>
      <c r="C45" s="11" t="s">
        <v>125</v>
      </c>
      <c r="D45" s="11" t="s">
        <v>126</v>
      </c>
    </row>
    <row r="46" spans="1:7" ht="24" customHeight="1" x14ac:dyDescent="0.25">
      <c r="A46" s="8"/>
      <c r="B46" s="8"/>
      <c r="C46" s="9"/>
      <c r="D46" s="8"/>
    </row>
    <row r="47" spans="1:7" ht="24" customHeight="1" x14ac:dyDescent="0.25">
      <c r="A47" s="8"/>
      <c r="B47" s="8"/>
      <c r="C47" s="9"/>
      <c r="D47" s="8"/>
    </row>
    <row r="48" spans="1:7" ht="24" customHeight="1" x14ac:dyDescent="0.25">
      <c r="A48" s="8"/>
      <c r="B48" s="8"/>
      <c r="C48" s="9"/>
      <c r="D48" s="8"/>
    </row>
    <row r="49" spans="1:4" ht="24" customHeight="1" x14ac:dyDescent="0.25">
      <c r="A49" s="8"/>
      <c r="B49" s="8"/>
      <c r="C49" s="9"/>
      <c r="D49" s="8"/>
    </row>
  </sheetData>
  <mergeCells count="10">
    <mergeCell ref="A1:G1"/>
    <mergeCell ref="A2:G2"/>
    <mergeCell ref="A4:G4"/>
    <mergeCell ref="A5:G5"/>
    <mergeCell ref="A12:G12"/>
    <mergeCell ref="A37:B37"/>
    <mergeCell ref="D37:G37"/>
    <mergeCell ref="A39:D39"/>
    <mergeCell ref="A15:G15"/>
    <mergeCell ref="A18:G18"/>
  </mergeCells>
  <pageMargins left="0.75" right="0.75" top="1" bottom="1" header="0.511811023622047" footer="0.511811023622047"/>
  <pageSetup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topLeftCell="A28" zoomScaleNormal="100" workbookViewId="0">
      <selection activeCell="F38" sqref="F38"/>
    </sheetView>
  </sheetViews>
  <sheetFormatPr defaultColWidth="8.6640625" defaultRowHeight="13.8" x14ac:dyDescent="0.25"/>
  <cols>
    <col min="1" max="1" width="9.109375" style="1" customWidth="1"/>
    <col min="2" max="2" width="27.88671875" style="1" bestFit="1" customWidth="1"/>
    <col min="3" max="3" width="12.33203125" style="1" bestFit="1" customWidth="1"/>
    <col min="4" max="4" width="38" style="1" bestFit="1" customWidth="1"/>
    <col min="5" max="5" width="31.6640625" style="1" customWidth="1"/>
    <col min="6" max="6" width="20.33203125" style="1" bestFit="1" customWidth="1"/>
    <col min="7" max="7" width="11.33203125" style="1" bestFit="1" customWidth="1"/>
    <col min="8" max="16384" width="8.6640625" style="1"/>
  </cols>
  <sheetData>
    <row r="1" spans="1:7" ht="17.399999999999999" x14ac:dyDescent="0.25">
      <c r="A1" s="36" t="s">
        <v>127</v>
      </c>
      <c r="B1" s="36"/>
      <c r="C1" s="36"/>
      <c r="D1" s="36"/>
      <c r="E1" s="36"/>
      <c r="F1" s="36"/>
      <c r="G1" s="36"/>
    </row>
    <row r="2" spans="1:7" x14ac:dyDescent="0.25">
      <c r="A2" s="37" t="s">
        <v>205</v>
      </c>
      <c r="B2" s="37"/>
      <c r="C2" s="37"/>
      <c r="D2" s="37"/>
      <c r="E2" s="37"/>
      <c r="F2" s="37"/>
      <c r="G2" s="37"/>
    </row>
    <row r="3" spans="1:7" x14ac:dyDescent="0.25">
      <c r="A3" s="10" t="s">
        <v>1</v>
      </c>
      <c r="B3" s="10" t="s">
        <v>2</v>
      </c>
      <c r="C3" s="10" t="s">
        <v>3</v>
      </c>
      <c r="D3" s="10" t="s">
        <v>4</v>
      </c>
      <c r="E3" s="10" t="s">
        <v>5</v>
      </c>
      <c r="F3" s="10" t="s">
        <v>6</v>
      </c>
      <c r="G3" s="10" t="s">
        <v>7</v>
      </c>
    </row>
    <row r="4" spans="1:7" x14ac:dyDescent="0.25">
      <c r="A4" s="38" t="s">
        <v>8</v>
      </c>
      <c r="B4" s="38"/>
      <c r="C4" s="38"/>
      <c r="D4" s="38"/>
      <c r="E4" s="38"/>
      <c r="F4" s="38"/>
      <c r="G4" s="38"/>
    </row>
    <row r="5" spans="1:7" x14ac:dyDescent="0.25">
      <c r="A5" s="35" t="s">
        <v>206</v>
      </c>
      <c r="B5" s="35"/>
      <c r="C5" s="35"/>
      <c r="D5" s="35"/>
      <c r="E5" s="35"/>
      <c r="F5" s="35"/>
      <c r="G5" s="35"/>
    </row>
    <row r="6" spans="1:7" ht="39.6" x14ac:dyDescent="0.25">
      <c r="A6" s="12" t="s">
        <v>10</v>
      </c>
      <c r="B6" s="13" t="s">
        <v>128</v>
      </c>
      <c r="C6" s="14">
        <v>0.05</v>
      </c>
      <c r="D6" s="13" t="s">
        <v>129</v>
      </c>
      <c r="E6" s="15" t="s">
        <v>130</v>
      </c>
      <c r="F6" s="13" t="s">
        <v>131</v>
      </c>
      <c r="G6" s="12" t="s">
        <v>21</v>
      </c>
    </row>
    <row r="7" spans="1:7" ht="36" x14ac:dyDescent="0.25">
      <c r="A7" s="12" t="s">
        <v>16</v>
      </c>
      <c r="B7" s="13" t="s">
        <v>132</v>
      </c>
      <c r="C7" s="14">
        <v>0.05</v>
      </c>
      <c r="D7" s="13" t="s">
        <v>133</v>
      </c>
      <c r="E7" s="15" t="s">
        <v>134</v>
      </c>
      <c r="F7" s="13" t="s">
        <v>135</v>
      </c>
      <c r="G7" s="12" t="s">
        <v>15</v>
      </c>
    </row>
    <row r="8" spans="1:7" ht="36" x14ac:dyDescent="0.25">
      <c r="A8" s="12" t="s">
        <v>22</v>
      </c>
      <c r="B8" s="13" t="s">
        <v>136</v>
      </c>
      <c r="C8" s="14">
        <v>0.05</v>
      </c>
      <c r="D8" s="13" t="s">
        <v>137</v>
      </c>
      <c r="E8" s="15" t="s">
        <v>138</v>
      </c>
      <c r="F8" s="13" t="s">
        <v>139</v>
      </c>
      <c r="G8" s="12" t="s">
        <v>21</v>
      </c>
    </row>
    <row r="9" spans="1:7" ht="36" x14ac:dyDescent="0.25">
      <c r="A9" s="12" t="s">
        <v>27</v>
      </c>
      <c r="B9" s="13" t="s">
        <v>140</v>
      </c>
      <c r="C9" s="14">
        <v>0.04</v>
      </c>
      <c r="D9" s="13" t="s">
        <v>141</v>
      </c>
      <c r="E9" s="15" t="s">
        <v>142</v>
      </c>
      <c r="F9" s="13" t="s">
        <v>143</v>
      </c>
      <c r="G9" s="12" t="s">
        <v>15</v>
      </c>
    </row>
    <row r="10" spans="1:7" ht="36" x14ac:dyDescent="0.25">
      <c r="A10" s="12" t="s">
        <v>32</v>
      </c>
      <c r="B10" s="13" t="s">
        <v>144</v>
      </c>
      <c r="C10" s="14">
        <v>0.05</v>
      </c>
      <c r="D10" s="13" t="s">
        <v>145</v>
      </c>
      <c r="E10" s="15" t="s">
        <v>146</v>
      </c>
      <c r="F10" s="13" t="s">
        <v>147</v>
      </c>
      <c r="G10" s="12" t="s">
        <v>42</v>
      </c>
    </row>
    <row r="11" spans="1:7" x14ac:dyDescent="0.25">
      <c r="A11" s="35" t="s">
        <v>187</v>
      </c>
      <c r="B11" s="35"/>
      <c r="C11" s="35"/>
      <c r="D11" s="35"/>
      <c r="E11" s="35"/>
      <c r="F11" s="35"/>
      <c r="G11" s="35"/>
    </row>
    <row r="12" spans="1:7" ht="36" x14ac:dyDescent="0.25">
      <c r="A12" s="12" t="s">
        <v>148</v>
      </c>
      <c r="B12" s="13" t="s">
        <v>149</v>
      </c>
      <c r="C12" s="14">
        <v>0.09</v>
      </c>
      <c r="D12" s="13" t="s">
        <v>188</v>
      </c>
      <c r="E12" s="15" t="s">
        <v>47</v>
      </c>
      <c r="F12" s="13" t="s">
        <v>150</v>
      </c>
      <c r="G12" s="12" t="s">
        <v>49</v>
      </c>
    </row>
    <row r="13" spans="1:7" ht="36" x14ac:dyDescent="0.25">
      <c r="A13" s="12" t="s">
        <v>151</v>
      </c>
      <c r="B13" s="13" t="s">
        <v>152</v>
      </c>
      <c r="C13" s="14">
        <v>0.06</v>
      </c>
      <c r="D13" s="13" t="s">
        <v>153</v>
      </c>
      <c r="E13" s="15" t="s">
        <v>154</v>
      </c>
      <c r="F13" s="13" t="s">
        <v>155</v>
      </c>
      <c r="G13" s="12" t="s">
        <v>49</v>
      </c>
    </row>
    <row r="14" spans="1:7" x14ac:dyDescent="0.25">
      <c r="A14" s="35" t="s">
        <v>156</v>
      </c>
      <c r="B14" s="35"/>
      <c r="C14" s="35"/>
      <c r="D14" s="35"/>
      <c r="E14" s="35"/>
      <c r="F14" s="35"/>
      <c r="G14" s="35"/>
    </row>
    <row r="15" spans="1:7" ht="36" x14ac:dyDescent="0.25">
      <c r="A15" s="12" t="s">
        <v>50</v>
      </c>
      <c r="B15" s="13" t="s">
        <v>157</v>
      </c>
      <c r="C15" s="14">
        <v>0.04</v>
      </c>
      <c r="D15" s="13" t="s">
        <v>158</v>
      </c>
      <c r="E15" s="15" t="s">
        <v>159</v>
      </c>
      <c r="F15" s="13" t="s">
        <v>160</v>
      </c>
      <c r="G15" s="12" t="s">
        <v>49</v>
      </c>
    </row>
    <row r="16" spans="1:7" ht="39.6" x14ac:dyDescent="0.25">
      <c r="A16" s="12" t="s">
        <v>56</v>
      </c>
      <c r="B16" s="13" t="s">
        <v>161</v>
      </c>
      <c r="C16" s="14">
        <v>7.0000000000000007E-2</v>
      </c>
      <c r="D16" s="13" t="s">
        <v>162</v>
      </c>
      <c r="E16" s="15" t="s">
        <v>163</v>
      </c>
      <c r="F16" s="13" t="s">
        <v>164</v>
      </c>
      <c r="G16" s="12" t="s">
        <v>67</v>
      </c>
    </row>
    <row r="17" spans="1:7" x14ac:dyDescent="0.25">
      <c r="A17" s="35" t="s">
        <v>189</v>
      </c>
      <c r="B17" s="35"/>
      <c r="C17" s="35"/>
      <c r="D17" s="35"/>
      <c r="E17" s="35"/>
      <c r="F17" s="35"/>
      <c r="G17" s="35"/>
    </row>
    <row r="18" spans="1:7" ht="26.4" x14ac:dyDescent="0.25">
      <c r="A18" s="12" t="s">
        <v>62</v>
      </c>
      <c r="B18" s="13" t="s">
        <v>165</v>
      </c>
      <c r="C18" s="14">
        <v>0.05</v>
      </c>
      <c r="D18" s="13" t="s">
        <v>166</v>
      </c>
      <c r="E18" s="15" t="s">
        <v>167</v>
      </c>
      <c r="F18" s="13" t="s">
        <v>168</v>
      </c>
      <c r="G18" s="12" t="s">
        <v>169</v>
      </c>
    </row>
    <row r="19" spans="1:7" ht="48" x14ac:dyDescent="0.25">
      <c r="A19" s="12" t="s">
        <v>69</v>
      </c>
      <c r="B19" s="13" t="s">
        <v>170</v>
      </c>
      <c r="C19" s="14">
        <v>0.05</v>
      </c>
      <c r="D19" s="13" t="s">
        <v>171</v>
      </c>
      <c r="E19" s="15" t="s">
        <v>172</v>
      </c>
      <c r="F19" s="13" t="s">
        <v>173</v>
      </c>
      <c r="G19" s="12" t="s">
        <v>42</v>
      </c>
    </row>
    <row r="20" spans="1:7" x14ac:dyDescent="0.25">
      <c r="A20" s="16" t="s">
        <v>85</v>
      </c>
      <c r="B20" s="17"/>
      <c r="C20" s="17"/>
      <c r="D20" s="17"/>
      <c r="E20" s="17"/>
      <c r="F20" s="17"/>
      <c r="G20" s="17"/>
    </row>
    <row r="21" spans="1:7" x14ac:dyDescent="0.25">
      <c r="A21" s="18" t="s">
        <v>208</v>
      </c>
      <c r="B21" s="19"/>
      <c r="C21" s="19"/>
      <c r="D21" s="19"/>
      <c r="E21" s="19"/>
      <c r="F21" s="19"/>
      <c r="G21" s="19"/>
    </row>
    <row r="22" spans="1:7" ht="52.8" x14ac:dyDescent="0.25">
      <c r="A22" s="12" t="s">
        <v>86</v>
      </c>
      <c r="B22" s="13" t="s">
        <v>87</v>
      </c>
      <c r="C22" s="14">
        <v>0.08</v>
      </c>
      <c r="D22" s="13" t="s">
        <v>88</v>
      </c>
      <c r="E22" s="15" t="s">
        <v>174</v>
      </c>
      <c r="F22" s="13" t="s">
        <v>89</v>
      </c>
      <c r="G22" s="12" t="s">
        <v>90</v>
      </c>
    </row>
    <row r="23" spans="1:7" ht="36" x14ac:dyDescent="0.25">
      <c r="A23" s="12" t="s">
        <v>91</v>
      </c>
      <c r="B23" s="13" t="s">
        <v>92</v>
      </c>
      <c r="C23" s="14">
        <v>0.04</v>
      </c>
      <c r="D23" s="13" t="s">
        <v>93</v>
      </c>
      <c r="E23" s="15" t="s">
        <v>175</v>
      </c>
      <c r="F23" s="13" t="s">
        <v>94</v>
      </c>
      <c r="G23" s="12" t="s">
        <v>90</v>
      </c>
    </row>
    <row r="24" spans="1:7" x14ac:dyDescent="0.25">
      <c r="A24" s="20" t="s">
        <v>209</v>
      </c>
      <c r="B24" s="21"/>
      <c r="C24" s="21"/>
      <c r="D24" s="21"/>
      <c r="E24" s="21"/>
      <c r="F24" s="21"/>
      <c r="G24" s="21"/>
    </row>
    <row r="25" spans="1:7" s="2" customFormat="1" ht="158.4" x14ac:dyDescent="0.25">
      <c r="A25" s="22" t="s">
        <v>96</v>
      </c>
      <c r="B25" s="23" t="s">
        <v>95</v>
      </c>
      <c r="C25" s="24">
        <v>0.04</v>
      </c>
      <c r="D25" s="23" t="s">
        <v>176</v>
      </c>
      <c r="E25" s="25" t="s">
        <v>177</v>
      </c>
      <c r="F25" s="23" t="s">
        <v>186</v>
      </c>
      <c r="G25" s="22" t="s">
        <v>21</v>
      </c>
    </row>
    <row r="26" spans="1:7" s="2" customFormat="1" ht="52.8" x14ac:dyDescent="0.25">
      <c r="A26" s="22" t="s">
        <v>101</v>
      </c>
      <c r="B26" s="23" t="s">
        <v>97</v>
      </c>
      <c r="C26" s="24">
        <v>0.04</v>
      </c>
      <c r="D26" s="23" t="s">
        <v>98</v>
      </c>
      <c r="E26" s="25" t="s">
        <v>99</v>
      </c>
      <c r="F26" s="23" t="s">
        <v>100</v>
      </c>
      <c r="G26" s="22" t="s">
        <v>15</v>
      </c>
    </row>
    <row r="27" spans="1:7" x14ac:dyDescent="0.25">
      <c r="A27" s="26" t="s">
        <v>210</v>
      </c>
      <c r="B27" s="27"/>
      <c r="C27" s="27"/>
      <c r="D27" s="27"/>
      <c r="E27" s="27"/>
      <c r="F27" s="27"/>
      <c r="G27" s="27"/>
    </row>
    <row r="28" spans="1:7" s="2" customFormat="1" ht="66" x14ac:dyDescent="0.25">
      <c r="A28" s="22" t="s">
        <v>107</v>
      </c>
      <c r="B28" s="23" t="s">
        <v>102</v>
      </c>
      <c r="C28" s="24">
        <v>0.06</v>
      </c>
      <c r="D28" s="23" t="s">
        <v>178</v>
      </c>
      <c r="E28" s="25" t="s">
        <v>179</v>
      </c>
      <c r="F28" s="23" t="s">
        <v>103</v>
      </c>
      <c r="G28" s="22" t="s">
        <v>15</v>
      </c>
    </row>
    <row r="29" spans="1:7" s="2" customFormat="1" ht="52.8" x14ac:dyDescent="0.25">
      <c r="A29" s="22" t="s">
        <v>180</v>
      </c>
      <c r="B29" s="23" t="s">
        <v>104</v>
      </c>
      <c r="C29" s="24">
        <v>0.04</v>
      </c>
      <c r="D29" s="23" t="s">
        <v>105</v>
      </c>
      <c r="E29" s="25" t="s">
        <v>106</v>
      </c>
      <c r="F29" s="23" t="s">
        <v>181</v>
      </c>
      <c r="G29" s="22" t="s">
        <v>15</v>
      </c>
    </row>
    <row r="30" spans="1:7" s="2" customFormat="1" ht="66" x14ac:dyDescent="0.25">
      <c r="A30" s="22" t="s">
        <v>182</v>
      </c>
      <c r="B30" s="23" t="s">
        <v>183</v>
      </c>
      <c r="C30" s="24">
        <v>0.02</v>
      </c>
      <c r="D30" s="23" t="s">
        <v>190</v>
      </c>
      <c r="E30" s="25" t="s">
        <v>184</v>
      </c>
      <c r="F30" s="23" t="s">
        <v>191</v>
      </c>
      <c r="G30" s="22" t="s">
        <v>49</v>
      </c>
    </row>
    <row r="31" spans="1:7" x14ac:dyDescent="0.25">
      <c r="A31" s="18" t="s">
        <v>192</v>
      </c>
      <c r="B31" s="19"/>
      <c r="C31" s="19"/>
      <c r="D31" s="19"/>
      <c r="E31" s="19"/>
      <c r="F31" s="19"/>
      <c r="G31" s="19"/>
    </row>
    <row r="32" spans="1:7" ht="39.6" x14ac:dyDescent="0.25">
      <c r="A32" s="12" t="s">
        <v>185</v>
      </c>
      <c r="B32" s="13" t="s">
        <v>193</v>
      </c>
      <c r="C32" s="14">
        <v>0.03</v>
      </c>
      <c r="D32" s="13" t="s">
        <v>194</v>
      </c>
      <c r="E32" s="15" t="s">
        <v>195</v>
      </c>
      <c r="F32" s="13" t="s">
        <v>196</v>
      </c>
      <c r="G32" s="12" t="s">
        <v>15</v>
      </c>
    </row>
    <row r="33" spans="1:7" ht="52.8" x14ac:dyDescent="0.25">
      <c r="A33" s="12">
        <v>27</v>
      </c>
      <c r="B33" s="13" t="s">
        <v>197</v>
      </c>
      <c r="C33" s="14">
        <v>0.02</v>
      </c>
      <c r="D33" s="13" t="s">
        <v>198</v>
      </c>
      <c r="E33" s="15" t="s">
        <v>199</v>
      </c>
      <c r="F33" s="13" t="s">
        <v>200</v>
      </c>
      <c r="G33" s="12" t="s">
        <v>49</v>
      </c>
    </row>
    <row r="34" spans="1:7" ht="66" x14ac:dyDescent="0.25">
      <c r="A34" s="12">
        <v>28</v>
      </c>
      <c r="B34" s="13" t="s">
        <v>201</v>
      </c>
      <c r="C34" s="14">
        <v>0.03</v>
      </c>
      <c r="D34" s="13" t="s">
        <v>202</v>
      </c>
      <c r="E34" s="15" t="s">
        <v>203</v>
      </c>
      <c r="F34" s="13" t="s">
        <v>204</v>
      </c>
      <c r="G34" s="12" t="s">
        <v>49</v>
      </c>
    </row>
    <row r="35" spans="1:7" x14ac:dyDescent="0.25">
      <c r="A35" s="32" t="s">
        <v>108</v>
      </c>
      <c r="B35" s="32"/>
      <c r="C35" s="31">
        <f>SUM(C6:C10)+SUM(C12:C13)+SUM(C15:C16)+SUM(C18:C19)+SUM(C22:C23)+SUM(C25:C26)+SUM(C28:C30)+SUM(C32:C34)</f>
        <v>0.99999999999999989</v>
      </c>
      <c r="D35" s="40" t="s">
        <v>212</v>
      </c>
      <c r="E35" s="40"/>
      <c r="F35" s="40"/>
      <c r="G35" s="40"/>
    </row>
    <row r="37" spans="1:7" ht="17.399999999999999" x14ac:dyDescent="0.25">
      <c r="A37" s="34" t="s">
        <v>109</v>
      </c>
      <c r="B37" s="34"/>
      <c r="C37" s="34"/>
      <c r="D37" s="34"/>
    </row>
    <row r="38" spans="1:7" x14ac:dyDescent="0.25">
      <c r="A38" s="10" t="s">
        <v>1</v>
      </c>
      <c r="B38" s="10" t="s">
        <v>110</v>
      </c>
      <c r="C38" s="10" t="s">
        <v>111</v>
      </c>
      <c r="D38" s="10" t="s">
        <v>112</v>
      </c>
      <c r="E38" s="29"/>
      <c r="F38" s="30"/>
      <c r="G38" s="30"/>
    </row>
    <row r="39" spans="1:7" ht="26.4" x14ac:dyDescent="0.25">
      <c r="A39" s="11">
        <v>1</v>
      </c>
      <c r="B39" s="11" t="s">
        <v>113</v>
      </c>
      <c r="C39" s="11" t="s">
        <v>114</v>
      </c>
      <c r="D39" s="11" t="s">
        <v>115</v>
      </c>
    </row>
    <row r="40" spans="1:7" ht="26.4" x14ac:dyDescent="0.25">
      <c r="A40" s="11">
        <v>2</v>
      </c>
      <c r="B40" s="11" t="s">
        <v>116</v>
      </c>
      <c r="C40" s="11" t="s">
        <v>117</v>
      </c>
      <c r="D40" s="11" t="s">
        <v>118</v>
      </c>
    </row>
    <row r="41" spans="1:7" ht="26.4" x14ac:dyDescent="0.25">
      <c r="A41" s="11">
        <v>3</v>
      </c>
      <c r="B41" s="11" t="s">
        <v>119</v>
      </c>
      <c r="C41" s="11" t="s">
        <v>120</v>
      </c>
      <c r="D41" s="11" t="s">
        <v>121</v>
      </c>
    </row>
    <row r="42" spans="1:7" x14ac:dyDescent="0.25">
      <c r="A42" s="11">
        <v>4</v>
      </c>
      <c r="B42" s="11" t="s">
        <v>122</v>
      </c>
      <c r="C42" s="11" t="s">
        <v>125</v>
      </c>
      <c r="D42" s="11" t="s">
        <v>123</v>
      </c>
    </row>
    <row r="43" spans="1:7" x14ac:dyDescent="0.25">
      <c r="A43" s="11">
        <v>5</v>
      </c>
      <c r="B43" s="11" t="s">
        <v>124</v>
      </c>
      <c r="C43" s="11" t="s">
        <v>125</v>
      </c>
      <c r="D43" s="11" t="s">
        <v>126</v>
      </c>
    </row>
  </sheetData>
  <mergeCells count="10">
    <mergeCell ref="A1:G1"/>
    <mergeCell ref="A2:G2"/>
    <mergeCell ref="A4:G4"/>
    <mergeCell ref="A5:G5"/>
    <mergeCell ref="A11:G11"/>
    <mergeCell ref="A14:G14"/>
    <mergeCell ref="A17:G17"/>
    <mergeCell ref="A35:B35"/>
    <mergeCell ref="D35:G35"/>
    <mergeCell ref="A37:D37"/>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 Sales Admin</vt:lpstr>
      <vt:lpstr>KPI Sup trở lên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Chi Tran Le Kim</cp:lastModifiedBy>
  <cp:revision>0</cp:revision>
  <dcterms:created xsi:type="dcterms:W3CDTF">2026-04-23T08:40:23Z</dcterms:created>
  <dcterms:modified xsi:type="dcterms:W3CDTF">2026-05-12T09:32:00Z</dcterms:modified>
  <dc:language>en-US</dc:language>
</cp:coreProperties>
</file>